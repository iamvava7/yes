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asks" sheetId="2" state="visible" r:id="rId4"/>
    <sheet name="Done so far" sheetId="3" state="visible" r:id="rId5"/>
    <sheet name="Suggestions" sheetId="4" state="visible" r:id="rId6"/>
    <sheet name="Questions for you" sheetId="5" state="visible" r:id="rId7"/>
  </sheets>
  <definedNames>
    <definedName function="false" hidden="true" localSheetId="3" name="_xlnm._FilterDatabase" vbProcedure="false">Suggestions!$A$1:$H$16</definedName>
    <definedName function="false" hidden="true" localSheetId="1" name="_xlnm._FilterDatabase" vbProcedure="false">Tasks!$A$1:$I$18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<sst xmlns="http://schemas.openxmlformats.org/spreadsheetml/2006/main" count="265" uniqueCount="187">
  <si>
    <t xml:space="preserve">VerifiCasa — work plan</t>
  </si>
  <si>
    <t xml:space="preserve">Made 23 Oct 2026. Open 'Tasks', do the rows where Who = You, change Status from the dropdown. Claude does the rest next session.</t>
  </si>
  <si>
    <t xml:space="preserve">Progress</t>
  </si>
  <si>
    <t xml:space="preserve">Count</t>
  </si>
  <si>
    <t xml:space="preserve">Total tasks</t>
  </si>
  <si>
    <t xml:space="preserve">Done</t>
  </si>
  <si>
    <t xml:space="preserve">Blocked</t>
  </si>
  <si>
    <t xml:space="preserve">Open for You</t>
  </si>
  <si>
    <t xml:space="preserve">Open for Claude</t>
  </si>
  <si>
    <t xml:space="preserve">Open P0 (do now)</t>
  </si>
  <si>
    <t xml:space="preserve">% done</t>
  </si>
  <si>
    <t xml:space="preserve">Tomorrow, in order</t>
  </si>
  <si>
    <t xml:space="preserve">1. You: install Claude GitHub App on iamvava7 (T01)</t>
  </si>
  <si>
    <t xml:space="preserve">2. You: add INTEGRATIONS_MASTER_KEY in Base44 (T04)</t>
  </si>
  <si>
    <t xml:space="preserve">3. Claude: push SpaceTwin commits (T02)</t>
  </si>
  <si>
    <t xml:space="preserve">4. Both: test admin panel in preview (T05)</t>
  </si>
  <si>
    <t xml:space="preserve">5. You: answer 'Questions for you' tab</t>
  </si>
  <si>
    <t xml:space="preserve">Legend</t>
  </si>
  <si>
    <t xml:space="preserve">Yellow cells</t>
  </si>
  <si>
    <t xml:space="preserve">for you to fill in</t>
  </si>
  <si>
    <t xml:space="preserve">Blue numbers</t>
  </si>
  <si>
    <t xml:space="preserve">inputs you can change (Suggestions)</t>
  </si>
  <si>
    <t xml:space="preserve">Dropdowns</t>
  </si>
  <si>
    <t xml:space="preserve">Who / Priority / Status / Decision</t>
  </si>
  <si>
    <t xml:space="preserve">Green / red / yellow rows</t>
  </si>
  <si>
    <t xml:space="preserve">Done / Blocked / In progress</t>
  </si>
  <si>
    <t xml:space="preserve">Never write</t>
  </si>
  <si>
    <t xml:space="preserve">API keys or passwords in this file</t>
  </si>
  <si>
    <t xml:space="preserve">ID</t>
  </si>
  <si>
    <t xml:space="preserve">Area</t>
  </si>
  <si>
    <t xml:space="preserve">Task</t>
  </si>
  <si>
    <t xml:space="preserve">Who</t>
  </si>
  <si>
    <t xml:space="preserve">Priority</t>
  </si>
  <si>
    <t xml:space="preserve">Status</t>
  </si>
  <si>
    <t xml:space="preserve">Depends on</t>
  </si>
  <si>
    <t xml:space="preserve">How / notes</t>
  </si>
  <si>
    <t xml:space="preserve">Done date</t>
  </si>
  <si>
    <t xml:space="preserve">T01</t>
  </si>
  <si>
    <t xml:space="preserve">GitHub</t>
  </si>
  <si>
    <t xml:space="preserve">Install the Claude GitHub App on the iamvava7 account and give it the 'yes' repo</t>
  </si>
  <si>
    <t xml:space="preserve">You</t>
  </si>
  <si>
    <t xml:space="preserve">P0 – now</t>
  </si>
  <si>
    <t xml:space="preserve">To do</t>
  </si>
  <si>
    <t xml:space="preserve">Sign in as iamvava7 → github.com/apps/claude/installations/select_target → iamvava7 → repo 'yes'. If still blocked, start a new session with iamvava7/yes selected.</t>
  </si>
  <si>
    <t xml:space="preserve">T02</t>
  </si>
  <si>
    <t xml:space="preserve">Push the 3 waiting SpaceTwin commits (tour page, tour quality, Maria)</t>
  </si>
  <si>
    <t xml:space="preserve">Claude</t>
  </si>
  <si>
    <t xml:space="preserve">Branch 'spacetwin'. Backup: spacetwin-unpushed.bundle (git pull &lt;bundle&gt; spacetwin).</t>
  </si>
  <si>
    <t xml:space="preserve">T03</t>
  </si>
  <si>
    <t xml:space="preserve">Make repos private (if still wanted)</t>
  </si>
  <si>
    <t xml:space="preserve">P2 – later</t>
  </si>
  <si>
    <t xml:space="preserve">GitHub → repo → Settings → Danger zone → Change visibility. Testers then need an invite to clone.</t>
  </si>
  <si>
    <t xml:space="preserve">T04</t>
  </si>
  <si>
    <t xml:space="preserve">Website</t>
  </si>
  <si>
    <t xml:space="preserve">Add the secret INTEGRATIONS_MASTER_KEY in Base44</t>
  </si>
  <si>
    <t xml:space="preserve">Base44 → Settings → Secrets. Long random phrase (min 16 chars). Never share it or put it in the repo.</t>
  </si>
  <si>
    <t xml:space="preserve">T05</t>
  </si>
  <si>
    <t xml:space="preserve">Test branch claude/admin-integrations-texts in Base44 preview</t>
  </si>
  <si>
    <t xml:space="preserve">Both</t>
  </si>
  <si>
    <t xml:space="preserve">Admin → 'Integrări &amp; chei API': save + Test a Stripe key. Admin → 'Texte site': change one text, check it appears live, then 'Original'.</t>
  </si>
  <si>
    <t xml:space="preserve">T06</t>
  </si>
  <si>
    <t xml:space="preserve">Merge claude/admin-integrations-texts into main</t>
  </si>
  <si>
    <t xml:space="preserve">P1 – next</t>
  </si>
  <si>
    <t xml:space="preserve">Only after your OK. Base44 publishes from main.</t>
  </si>
  <si>
    <t xml:space="preserve">T07</t>
  </si>
  <si>
    <t xml:space="preserve">Maria AI</t>
  </si>
  <si>
    <t xml:space="preserve">Add the Anthropic API key so Maria uses Claude</t>
  </si>
  <si>
    <t xml:space="preserve">console.anthropic.com → API key → set ANTHROPIC_API_KEY on the tour server (or in the new admin panel). Without it Maria still answers from listing facts.</t>
  </si>
  <si>
    <t xml:space="preserve">T08</t>
  </si>
  <si>
    <t xml:space="preserve">Hosting</t>
  </si>
  <si>
    <t xml:space="preserve">Choose where the tour app (SpaceTwin) runs</t>
  </si>
  <si>
    <t xml:space="preserve">Needs Node + Python + OpenCV for the pro stitcher. Options: small VPS (Hetzner/DigitalOcean), Render, Fly.io.</t>
  </si>
  <si>
    <t xml:space="preserve">T09</t>
  </si>
  <si>
    <t xml:space="preserve">Deploy SpaceTwin + connect it to verificasa.ro (/3D links)</t>
  </si>
  <si>
    <t xml:space="preserve">T02, T08</t>
  </si>
  <si>
    <t xml:space="preserve">Set VERIFICASA env (app id), domain, HTTPS. Check embed iframe on a listing.</t>
  </si>
  <si>
    <t xml:space="preserve">T10</t>
  </si>
  <si>
    <t xml:space="preserve">Capture</t>
  </si>
  <si>
    <t xml:space="preserve">Decide: phone only, or also a 360° camera (e.g. Insta360)</t>
  </si>
  <si>
    <t xml:space="preserve">Changes the capture flow; a 360° camera gives Teleport/Matterport-level quality fastest.</t>
  </si>
  <si>
    <t xml:space="preserve">T11</t>
  </si>
  <si>
    <t xml:space="preserve">Real-home test: capture 1 apartment with a phone, review quality</t>
  </si>
  <si>
    <t xml:space="preserve">Send me the result link; I tune stitching/exposure on real footage.</t>
  </si>
  <si>
    <t xml:space="preserve">T12</t>
  </si>
  <si>
    <t xml:space="preserve">Fix Tur 3D page copy + add 'Tur 3D' search filter</t>
  </si>
  <si>
    <t xml:space="preserve">T13</t>
  </si>
  <si>
    <t xml:space="preserve">Floor-plan tab on each listing</t>
  </si>
  <si>
    <t xml:space="preserve">T14</t>
  </si>
  <si>
    <t xml:space="preserve">Energy class (CPE) + price/m² on listing cards</t>
  </si>
  <si>
    <t xml:space="preserve">Law 372/2005 already requires the energy certificate.</t>
  </si>
  <si>
    <t xml:space="preserve">T15</t>
  </si>
  <si>
    <t xml:space="preserve">'Noua Casă' mortgage calculator</t>
  </si>
  <si>
    <t xml:space="preserve">2026 rules: 5% deposit ≤ €70k, 15% ≤ €140k — re-check before launch.</t>
  </si>
  <si>
    <t xml:space="preserve">T16</t>
  </si>
  <si>
    <t xml:space="preserve">'Verified on site' badge from GPS capture stamp</t>
  </si>
  <si>
    <t xml:space="preserve">Backend already stores the capture stamp.</t>
  </si>
  <si>
    <t xml:space="preserve">T17</t>
  </si>
  <si>
    <t xml:space="preserve">Figma</t>
  </si>
  <si>
    <t xml:space="preserve">Review the Figma tour viewer vs the built page and send changes</t>
  </si>
  <si>
    <t xml:space="preserve">Figma page '🌐 Web · 3D Tour viewer'.</t>
  </si>
  <si>
    <t xml:space="preserve">Repo</t>
  </si>
  <si>
    <t xml:space="preserve">Branch</t>
  </si>
  <si>
    <t xml:space="preserve">Commit</t>
  </si>
  <si>
    <t xml:space="preserve">What changed</t>
  </si>
  <si>
    <t xml:space="preserve">On GitHub?</t>
  </si>
  <si>
    <t xml:space="preserve">iamvava7/yes</t>
  </si>
  <si>
    <t xml:space="preserve">spacetwin</t>
  </si>
  <si>
    <t xml:space="preserve">a4ab7c1</t>
  </si>
  <si>
    <t xml:space="preserve">Pro OpenCV stitcher (hides seams, no ghosting), VerifiCasa look, listing embed + /3D links</t>
  </si>
  <si>
    <t xml:space="preserve">Yes</t>
  </si>
  <si>
    <t xml:space="preserve">5a0b53a</t>
  </si>
  <si>
    <t xml:space="preserve">Tour page rebuilt from Figma 'Web · 3D Tour viewer' (PC + phone, details panel, room strip, loading)</t>
  </si>
  <si>
    <t xml:space="preserve">No – waiting T02</t>
  </si>
  <si>
    <t xml:space="preserve">6701ee7</t>
  </si>
  <si>
    <t xml:space="preserve">Tour quality: sharper 360°, 2D plan with room sizes + wall lengths, dollhouse studio look, measure snapping, tiny-planet intro, labels; VerifiCasa listings in the app, verified-on-site stamp</t>
  </si>
  <si>
    <t xml:space="preserve">984f06e</t>
  </si>
  <si>
    <t xml:space="preserve">Maria AI agent: only about this home, RO/EN, map card, go-to-room, call/WhatsApp/email, voice</t>
  </si>
  <si>
    <t xml:space="preserve">vava6969/verificasa</t>
  </si>
  <si>
    <t xml:space="preserve">claude/admin-integrations-texts</t>
  </si>
  <si>
    <t xml:space="preserve">(latest)</t>
  </si>
  <si>
    <t xml:space="preserve">Admin 'Integrări &amp; chei API' (encrypted keys, test, delete, custom) + 'Texte site' live editor (RO/EN)</t>
  </si>
  <si>
    <t xml:space="preserve">Yes – not merged</t>
  </si>
  <si>
    <t xml:space="preserve">main</t>
  </si>
  <si>
    <t xml:space="preserve">(existing)</t>
  </si>
  <si>
    <t xml:space="preserve">Live Stripe price editing already exists: Admin → 'Planuri &amp; Prețuri'</t>
  </si>
  <si>
    <t xml:space="preserve">—</t>
  </si>
  <si>
    <t xml:space="preserve">#</t>
  </si>
  <si>
    <t xml:space="preserve">Idea</t>
  </si>
  <si>
    <t xml:space="preserve">Why it helps (Romania)</t>
  </si>
  <si>
    <t xml:space="preserve">Inspired by</t>
  </si>
  <si>
    <t xml:space="preserve">Impact (1-5)</t>
  </si>
  <si>
    <t xml:space="preserve">Effort (1-5)</t>
  </si>
  <si>
    <t xml:space="preserve">Score</t>
  </si>
  <si>
    <t xml:space="preserve">Decision</t>
  </si>
  <si>
    <t xml:space="preserve">Verified-on-site badge (GPS + date of capture)</t>
  </si>
  <si>
    <t xml:space="preserve">Fake listings are a big trust problem in Romanian portals</t>
  </si>
  <si>
    <t xml:space="preserve">Original (VerifiCasa)</t>
  </si>
  <si>
    <t xml:space="preserve">'Tur 3D' filter + floor-plan tab</t>
  </si>
  <si>
    <t xml:space="preserve">Listings with tours/plans get more views and saves</t>
  </si>
  <si>
    <t xml:space="preserve">Zillow, Immoweb</t>
  </si>
  <si>
    <t xml:space="preserve">Energy class (CPE) + price/m² on cards</t>
  </si>
  <si>
    <t xml:space="preserve">Buyers compare by price/m²; CPE is legally required</t>
  </si>
  <si>
    <t xml:space="preserve">ImmoScout24</t>
  </si>
  <si>
    <t xml:space="preserve">Seismic risk class field (Bucharest!)</t>
  </si>
  <si>
    <t xml:space="preserve">Seismic class is going into the land register; huge concern in Bucharest</t>
  </si>
  <si>
    <t xml:space="preserve">Original</t>
  </si>
  <si>
    <t xml:space="preserve">Noua Casă / mortgage calculator</t>
  </si>
  <si>
    <t xml:space="preserve">Most buyers finance; shows real monthly cost</t>
  </si>
  <si>
    <t xml:space="preserve">Zillow BuyAbility</t>
  </si>
  <si>
    <t xml:space="preserve">Neighbourhood layers: schools, metro, noise, parks</t>
  </si>
  <si>
    <t xml:space="preserve">Location is the #1 question; Maria can use it too</t>
  </si>
  <si>
    <t xml:space="preserve">Zoopla</t>
  </si>
  <si>
    <t xml:space="preserve">Agent dashboard: tour views, Maria chats, leads</t>
  </si>
  <si>
    <t xml:space="preserve">Proves value to agents → they bring listings</t>
  </si>
  <si>
    <t xml:space="preserve">Matterport, Zillow</t>
  </si>
  <si>
    <t xml:space="preserve">Saved searches + alerts (email/WhatsApp)</t>
  </si>
  <si>
    <t xml:space="preserve">Brings buyers back; WhatsApp is the main channel in RO</t>
  </si>
  <si>
    <t xml:space="preserve">Zillow, Storia</t>
  </si>
  <si>
    <t xml:space="preserve">Price history + 'days on market'</t>
  </si>
  <si>
    <t xml:space="preserve">Transparency; negotiation help</t>
  </si>
  <si>
    <t xml:space="preserve">Zillow</t>
  </si>
  <si>
    <t xml:space="preserve">Virtual staging (empty rooms furnished, clearly labeled)</t>
  </si>
  <si>
    <t xml:space="preserve">Empty flats sell worse; must be labeled to stay honest</t>
  </si>
  <si>
    <t xml:space="preserve">Zillow, Matterport</t>
  </si>
  <si>
    <t xml:space="preserve">Book a viewing slot from the tour</t>
  </si>
  <si>
    <t xml:space="preserve">Turns a tour into a meeting directly</t>
  </si>
  <si>
    <t xml:space="preserve">Zillow messaging</t>
  </si>
  <si>
    <t xml:space="preserve">Annotations / notes in the tour (e.g. 'new boiler 2024')</t>
  </si>
  <si>
    <t xml:space="preserve">Agents highlight value; builds trust</t>
  </si>
  <si>
    <t xml:space="preserve">Matterport Mattertags</t>
  </si>
  <si>
    <t xml:space="preserve">Compare 2 homes side by side (tours + facts)</t>
  </si>
  <si>
    <t xml:space="preserve">Helps decide; keeps users on site</t>
  </si>
  <si>
    <t xml:space="preserve">Aerial / building exterior view</t>
  </si>
  <si>
    <t xml:space="preserve">Block/building condition matters a lot in RO</t>
  </si>
  <si>
    <t xml:space="preserve">Zillow SkyTour</t>
  </si>
  <si>
    <t xml:space="preserve">Agency white-label tours (own logo)</t>
  </si>
  <si>
    <t xml:space="preserve">Paid feature for agencies → revenue</t>
  </si>
  <si>
    <t xml:space="preserve">Matterport</t>
  </si>
  <si>
    <t xml:space="preserve">Score = Impact × 2 − Effort (higher = do first). Edit the blue numbers; pick a Decision from the list.</t>
  </si>
  <si>
    <t xml:space="preserve">Question</t>
  </si>
  <si>
    <t xml:space="preserve">Your answer</t>
  </si>
  <si>
    <t xml:space="preserve">Merge the admin branch into main after testing? (T06)</t>
  </si>
  <si>
    <t xml:space="preserve">Do you have an Anthropic API key for Maria? (T07)</t>
  </si>
  <si>
    <t xml:space="preserve">Phone only, or also a 360° camera? Which one? (T10)</t>
  </si>
  <si>
    <t xml:space="preserve">Where should the tour app run (VPS / Render / Fly)? Budget per month? (T08)</t>
  </si>
  <si>
    <t xml:space="preserve">Which suggestion first? (see Suggestions → Decision)</t>
  </si>
  <si>
    <t xml:space="preserve">Still want all repos private? (T03)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</si>
</sst>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7C5A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7C5A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E7C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ont>
        <strike val="1"/>
        <color rgb="FF6B7280"/>
      </font>
      <fill>
        <patternFill>
          <bgColor rgb="FFDFF3EA"/>
        </patternFill>
      </fill>
    </dxf>
    <dxf>
      <fill>
        <patternFill>
          <bgColor rgb="FFFDE2E1"/>
        </patternFill>
      </fill>
    </dxf>
    <dxf>
      <fill>
        <patternFill>
          <bgColor rgb="FFFFF4CC"/>
        </patternFill>
      </fill>
    </dxf>
    <dxf>
      <font>
        <b val="1"/>
        <color rgb="FFB45309"/>
      </font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FF3EA"/>
          <bgColor rgb="FF000000"/>
        </patternFill>
      </fill>
    </dxf>
    <dxf>
      <font>
        <b val="1"/>
      </font>
      <fill>
        <patternFill>
          <bgColor rgb="FFDFF3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5A"/>
      <rgbColor rgb="FFC0C0C0"/>
      <rgbColor rgb="FF808080"/>
      <rgbColor rgb="FF9999FF"/>
      <rgbColor rgb="FF993366"/>
      <rgbColor rgb="FFFFF4CC"/>
      <rgbColor rgb="FFDFF3EA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COUNTA(Tasks!A2:A58)</f>
        <v>17</v>
      </c>
    </row>
    <row r="6" customFormat="false" ht="15" hidden="false" customHeight="false" outlineLevel="0" collapsed="false">
      <c r="A6" s="4" t="s">
        <v>5</v>
      </c>
      <c r="B6" s="4" t="n">
        <f aca="false">COUNTIF(Tasks!F2:F58,"Done")</f>
        <v>0</v>
      </c>
    </row>
    <row r="7" customFormat="false" ht="15" hidden="false" customHeight="false" outlineLevel="0" collapsed="false">
      <c r="A7" s="4" t="s">
        <v>6</v>
      </c>
      <c r="B7" s="4" t="n">
        <f aca="false">COUNTIF(Tasks!F2:F58,"Blocked")</f>
        <v>0</v>
      </c>
    </row>
    <row r="8" customFormat="false" ht="15" hidden="false" customHeight="false" outlineLevel="0" collapsed="false">
      <c r="A8" s="4" t="s">
        <v>7</v>
      </c>
      <c r="B8" s="4" t="n">
        <f aca="false">COUNTIFS(Tasks!D2:D58,"You",Tasks!F2:F58,"&lt;&gt;Done")</f>
        <v>7</v>
      </c>
    </row>
    <row r="9" customFormat="false" ht="15" hidden="false" customHeight="false" outlineLevel="0" collapsed="false">
      <c r="A9" s="4" t="s">
        <v>8</v>
      </c>
      <c r="B9" s="4" t="n">
        <f aca="false">COUNTIFS(Tasks!D2:D58,"Claude",Tasks!F2:F58,"&lt;&gt;Done")</f>
        <v>8</v>
      </c>
    </row>
    <row r="10" customFormat="false" ht="15" hidden="false" customHeight="false" outlineLevel="0" collapsed="false">
      <c r="A10" s="4" t="s">
        <v>9</v>
      </c>
      <c r="B10" s="4" t="n">
        <f aca="false">COUNTIFS(Tasks!E2:E58,"P0 – now",Tasks!F2:F58,"&lt;&gt;Done")</f>
        <v>4</v>
      </c>
    </row>
    <row r="11" customFormat="false" ht="15" hidden="false" customHeight="false" outlineLevel="0" collapsed="false">
      <c r="A11" s="4" t="s">
        <v>10</v>
      </c>
      <c r="B11" s="5" t="n">
        <f aca="false">IF(B5=0,0,B6/B5)</f>
        <v>0</v>
      </c>
    </row>
    <row r="12" customFormat="false" ht="15" hidden="false" customHeight="false" outlineLevel="0" collapsed="false">
      <c r="A12" s="4"/>
      <c r="B12" s="4"/>
    </row>
    <row r="13" customFormat="false" ht="15" hidden="false" customHeight="false" outlineLevel="0" collapsed="false">
      <c r="A13" s="3" t="s">
        <v>11</v>
      </c>
      <c r="B13" s="3"/>
    </row>
    <row r="14" customFormat="false" ht="15" hidden="false" customHeight="false" outlineLevel="0" collapsed="false">
      <c r="A14" s="4" t="s">
        <v>12</v>
      </c>
      <c r="B14" s="4"/>
    </row>
    <row r="15" customFormat="false" ht="23.85" hidden="false" customHeight="false" outlineLevel="0" collapsed="false">
      <c r="A15" s="4" t="s">
        <v>13</v>
      </c>
      <c r="B15" s="4"/>
    </row>
    <row r="16" customFormat="false" ht="15" hidden="false" customHeight="false" outlineLevel="0" collapsed="false">
      <c r="A16" s="4" t="s">
        <v>14</v>
      </c>
      <c r="B16" s="4"/>
    </row>
    <row r="17" customFormat="false" ht="15" hidden="false" customHeight="false" outlineLevel="0" collapsed="false">
      <c r="A17" s="4" t="s">
        <v>15</v>
      </c>
      <c r="B17" s="4"/>
    </row>
    <row r="18" customFormat="false" ht="15" hidden="false" customHeight="false" outlineLevel="0" collapsed="false">
      <c r="A18" s="4" t="s">
        <v>16</v>
      </c>
      <c r="B18" s="4"/>
    </row>
    <row r="19" customFormat="false" ht="15" hidden="false" customHeight="false" outlineLevel="0" collapsed="false">
      <c r="A19" s="4"/>
      <c r="B19" s="4"/>
    </row>
    <row r="20" customFormat="false" ht="15" hidden="false" customHeight="false" outlineLevel="0" collapsed="false">
      <c r="A20" s="3" t="s">
        <v>17</v>
      </c>
      <c r="B20" s="3"/>
    </row>
    <row r="21" customFormat="false" ht="15" hidden="false" customHeight="false" outlineLevel="0" collapsed="false">
      <c r="A21" s="4" t="s">
        <v>18</v>
      </c>
      <c r="B21" s="4" t="s">
        <v>19</v>
      </c>
    </row>
    <row r="22" customFormat="false" ht="15" hidden="false" customHeight="false" outlineLevel="0" collapsed="false">
      <c r="A22" s="4" t="s">
        <v>20</v>
      </c>
      <c r="B22" s="4" t="s">
        <v>21</v>
      </c>
    </row>
    <row r="23" customFormat="false" ht="15" hidden="false" customHeight="false" outlineLevel="0" collapsed="false">
      <c r="A23" s="4" t="s">
        <v>22</v>
      </c>
      <c r="B23" s="4" t="s">
        <v>23</v>
      </c>
    </row>
    <row r="24" customFormat="false" ht="15" hidden="false" customHeight="false" outlineLevel="0" collapsed="false">
      <c r="A24" s="4" t="s">
        <v>24</v>
      </c>
      <c r="B24" s="4" t="s">
        <v>25</v>
      </c>
    </row>
    <row r="25" customFormat="false" ht="15" hidden="false" customHeight="false" outlineLevel="0" collapsed="false">
      <c r="A25" s="4" t="s">
        <v>26</v>
      </c>
      <c r="B25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7" min="5" style="0" width="12"/>
    <col collapsed="false" customWidth="true" hidden="false" outlineLevel="0" max="8" min="8" style="0" width="60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</row>
    <row r="2" customFormat="false" ht="35.05" hidden="false" customHeight="false" outlineLevel="0" collapsed="false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/>
      <c r="H2" s="4" t="s">
        <v>43</v>
      </c>
      <c r="I2" s="4"/>
    </row>
    <row r="3" customFormat="false" ht="23.85" hidden="false" customHeight="false" outlineLevel="0" collapsed="false">
      <c r="A3" s="4" t="s">
        <v>44</v>
      </c>
      <c r="B3" s="4" t="s">
        <v>38</v>
      </c>
      <c r="C3" s="4" t="s">
        <v>45</v>
      </c>
      <c r="D3" s="4" t="s">
        <v>46</v>
      </c>
      <c r="E3" s="4" t="s">
        <v>41</v>
      </c>
      <c r="F3" s="4" t="s">
        <v>42</v>
      </c>
      <c r="G3" s="4" t="s">
        <v>37</v>
      </c>
      <c r="H3" s="4" t="s">
        <v>47</v>
      </c>
      <c r="I3" s="4"/>
    </row>
    <row r="4" customFormat="false" ht="23.85" hidden="false" customHeight="false" outlineLevel="0" collapsed="false">
      <c r="A4" s="4" t="s">
        <v>48</v>
      </c>
      <c r="B4" s="4" t="s">
        <v>38</v>
      </c>
      <c r="C4" s="4" t="s">
        <v>49</v>
      </c>
      <c r="D4" s="4" t="s">
        <v>40</v>
      </c>
      <c r="E4" s="4" t="s">
        <v>50</v>
      </c>
      <c r="F4" s="4" t="s">
        <v>42</v>
      </c>
      <c r="G4" s="4" t="s">
        <v>44</v>
      </c>
      <c r="H4" s="4" t="s">
        <v>51</v>
      </c>
      <c r="I4" s="4"/>
    </row>
    <row r="5" customFormat="false" ht="23.85" hidden="false" customHeight="false" outlineLevel="0" collapsed="false">
      <c r="A5" s="4" t="s">
        <v>52</v>
      </c>
      <c r="B5" s="4" t="s">
        <v>53</v>
      </c>
      <c r="C5" s="4" t="s">
        <v>54</v>
      </c>
      <c r="D5" s="4" t="s">
        <v>40</v>
      </c>
      <c r="E5" s="4" t="s">
        <v>41</v>
      </c>
      <c r="F5" s="4" t="s">
        <v>42</v>
      </c>
      <c r="G5" s="4"/>
      <c r="H5" s="4" t="s">
        <v>55</v>
      </c>
      <c r="I5" s="4"/>
    </row>
    <row r="6" customFormat="false" ht="23.85" hidden="false" customHeight="false" outlineLevel="0" collapsed="false">
      <c r="A6" s="4" t="s">
        <v>56</v>
      </c>
      <c r="B6" s="4" t="s">
        <v>53</v>
      </c>
      <c r="C6" s="4" t="s">
        <v>57</v>
      </c>
      <c r="D6" s="4" t="s">
        <v>58</v>
      </c>
      <c r="E6" s="4" t="s">
        <v>41</v>
      </c>
      <c r="F6" s="4" t="s">
        <v>42</v>
      </c>
      <c r="G6" s="4" t="s">
        <v>52</v>
      </c>
      <c r="H6" s="4" t="s">
        <v>59</v>
      </c>
      <c r="I6" s="4"/>
    </row>
    <row r="7" customFormat="false" ht="15" hidden="false" customHeight="false" outlineLevel="0" collapsed="false">
      <c r="A7" s="4" t="s">
        <v>60</v>
      </c>
      <c r="B7" s="4" t="s">
        <v>53</v>
      </c>
      <c r="C7" s="4" t="s">
        <v>61</v>
      </c>
      <c r="D7" s="4" t="s">
        <v>46</v>
      </c>
      <c r="E7" s="4" t="s">
        <v>62</v>
      </c>
      <c r="F7" s="4" t="s">
        <v>42</v>
      </c>
      <c r="G7" s="4" t="s">
        <v>56</v>
      </c>
      <c r="H7" s="4" t="s">
        <v>63</v>
      </c>
      <c r="I7" s="4"/>
    </row>
    <row r="8" customFormat="false" ht="35.05" hidden="false" customHeight="false" outlineLevel="0" collapsed="false">
      <c r="A8" s="4" t="s">
        <v>64</v>
      </c>
      <c r="B8" s="4" t="s">
        <v>65</v>
      </c>
      <c r="C8" s="4" t="s">
        <v>66</v>
      </c>
      <c r="D8" s="4" t="s">
        <v>40</v>
      </c>
      <c r="E8" s="4" t="s">
        <v>62</v>
      </c>
      <c r="F8" s="4" t="s">
        <v>42</v>
      </c>
      <c r="G8" s="4" t="s">
        <v>44</v>
      </c>
      <c r="H8" s="4" t="s">
        <v>67</v>
      </c>
      <c r="I8" s="4"/>
    </row>
    <row r="9" customFormat="false" ht="23.85" hidden="false" customHeight="false" outlineLevel="0" collapsed="false">
      <c r="A9" s="4" t="s">
        <v>68</v>
      </c>
      <c r="B9" s="4" t="s">
        <v>69</v>
      </c>
      <c r="C9" s="4" t="s">
        <v>70</v>
      </c>
      <c r="D9" s="4" t="s">
        <v>40</v>
      </c>
      <c r="E9" s="4" t="s">
        <v>62</v>
      </c>
      <c r="F9" s="4" t="s">
        <v>42</v>
      </c>
      <c r="G9" s="4"/>
      <c r="H9" s="4" t="s">
        <v>71</v>
      </c>
      <c r="I9" s="4"/>
    </row>
    <row r="10" customFormat="false" ht="23.85" hidden="false" customHeight="false" outlineLevel="0" collapsed="false">
      <c r="A10" s="4" t="s">
        <v>72</v>
      </c>
      <c r="B10" s="4" t="s">
        <v>69</v>
      </c>
      <c r="C10" s="4" t="s">
        <v>73</v>
      </c>
      <c r="D10" s="4" t="s">
        <v>46</v>
      </c>
      <c r="E10" s="4" t="s">
        <v>62</v>
      </c>
      <c r="F10" s="4" t="s">
        <v>42</v>
      </c>
      <c r="G10" s="4" t="s">
        <v>74</v>
      </c>
      <c r="H10" s="4" t="s">
        <v>75</v>
      </c>
      <c r="I10" s="4"/>
    </row>
    <row r="11" customFormat="false" ht="23.85" hidden="false" customHeight="false" outlineLevel="0" collapsed="false">
      <c r="A11" s="4" t="s">
        <v>76</v>
      </c>
      <c r="B11" s="4" t="s">
        <v>77</v>
      </c>
      <c r="C11" s="4" t="s">
        <v>78</v>
      </c>
      <c r="D11" s="4" t="s">
        <v>40</v>
      </c>
      <c r="E11" s="4" t="s">
        <v>62</v>
      </c>
      <c r="F11" s="4" t="s">
        <v>42</v>
      </c>
      <c r="G11" s="4"/>
      <c r="H11" s="4" t="s">
        <v>79</v>
      </c>
      <c r="I11" s="4"/>
    </row>
    <row r="12" customFormat="false" ht="23.85" hidden="false" customHeight="false" outlineLevel="0" collapsed="false">
      <c r="A12" s="4" t="s">
        <v>80</v>
      </c>
      <c r="B12" s="4" t="s">
        <v>77</v>
      </c>
      <c r="C12" s="4" t="s">
        <v>81</v>
      </c>
      <c r="D12" s="4" t="s">
        <v>58</v>
      </c>
      <c r="E12" s="4" t="s">
        <v>62</v>
      </c>
      <c r="F12" s="4" t="s">
        <v>42</v>
      </c>
      <c r="G12" s="4" t="s">
        <v>72</v>
      </c>
      <c r="H12" s="4" t="s">
        <v>82</v>
      </c>
      <c r="I12" s="4"/>
    </row>
    <row r="13" customFormat="false" ht="15" hidden="false" customHeight="false" outlineLevel="0" collapsed="false">
      <c r="A13" s="4" t="s">
        <v>83</v>
      </c>
      <c r="B13" s="4" t="s">
        <v>53</v>
      </c>
      <c r="C13" s="4" t="s">
        <v>84</v>
      </c>
      <c r="D13" s="4" t="s">
        <v>46</v>
      </c>
      <c r="E13" s="4" t="s">
        <v>50</v>
      </c>
      <c r="F13" s="4" t="s">
        <v>42</v>
      </c>
      <c r="G13" s="4" t="s">
        <v>60</v>
      </c>
      <c r="H13" s="4"/>
      <c r="I13" s="4"/>
    </row>
    <row r="14" customFormat="false" ht="15" hidden="false" customHeight="false" outlineLevel="0" collapsed="false">
      <c r="A14" s="4" t="s">
        <v>85</v>
      </c>
      <c r="B14" s="4" t="s">
        <v>53</v>
      </c>
      <c r="C14" s="4" t="s">
        <v>86</v>
      </c>
      <c r="D14" s="4" t="s">
        <v>46</v>
      </c>
      <c r="E14" s="4" t="s">
        <v>50</v>
      </c>
      <c r="F14" s="4" t="s">
        <v>42</v>
      </c>
      <c r="G14" s="4" t="s">
        <v>72</v>
      </c>
      <c r="H14" s="4"/>
      <c r="I14" s="4"/>
    </row>
    <row r="15" customFormat="false" ht="15" hidden="false" customHeight="false" outlineLevel="0" collapsed="false">
      <c r="A15" s="4" t="s">
        <v>87</v>
      </c>
      <c r="B15" s="4" t="s">
        <v>53</v>
      </c>
      <c r="C15" s="4" t="s">
        <v>88</v>
      </c>
      <c r="D15" s="4" t="s">
        <v>46</v>
      </c>
      <c r="E15" s="4" t="s">
        <v>50</v>
      </c>
      <c r="F15" s="4" t="s">
        <v>42</v>
      </c>
      <c r="G15" s="4" t="s">
        <v>60</v>
      </c>
      <c r="H15" s="4" t="s">
        <v>89</v>
      </c>
      <c r="I15" s="4"/>
    </row>
    <row r="16" customFormat="false" ht="15" hidden="false" customHeight="false" outlineLevel="0" collapsed="false">
      <c r="A16" s="4" t="s">
        <v>90</v>
      </c>
      <c r="B16" s="4" t="s">
        <v>53</v>
      </c>
      <c r="C16" s="4" t="s">
        <v>91</v>
      </c>
      <c r="D16" s="4" t="s">
        <v>46</v>
      </c>
      <c r="E16" s="4" t="s">
        <v>50</v>
      </c>
      <c r="F16" s="4" t="s">
        <v>42</v>
      </c>
      <c r="G16" s="4" t="s">
        <v>60</v>
      </c>
      <c r="H16" s="4" t="s">
        <v>92</v>
      </c>
      <c r="I16" s="4"/>
    </row>
    <row r="17" customFormat="false" ht="15" hidden="false" customHeight="false" outlineLevel="0" collapsed="false">
      <c r="A17" s="4" t="s">
        <v>93</v>
      </c>
      <c r="B17" s="4" t="s">
        <v>53</v>
      </c>
      <c r="C17" s="4" t="s">
        <v>94</v>
      </c>
      <c r="D17" s="4" t="s">
        <v>46</v>
      </c>
      <c r="E17" s="4" t="s">
        <v>62</v>
      </c>
      <c r="F17" s="4" t="s">
        <v>42</v>
      </c>
      <c r="G17" s="4" t="s">
        <v>72</v>
      </c>
      <c r="H17" s="4" t="s">
        <v>95</v>
      </c>
      <c r="I17" s="4"/>
    </row>
    <row r="18" customFormat="false" ht="23.85" hidden="false" customHeight="false" outlineLevel="0" collapsed="false">
      <c r="A18" s="4" t="s">
        <v>96</v>
      </c>
      <c r="B18" s="4" t="s">
        <v>97</v>
      </c>
      <c r="C18" s="4" t="s">
        <v>98</v>
      </c>
      <c r="D18" s="4" t="s">
        <v>40</v>
      </c>
      <c r="E18" s="4" t="s">
        <v>50</v>
      </c>
      <c r="F18" s="4" t="s">
        <v>42</v>
      </c>
      <c r="G18" s="4" t="s">
        <v>72</v>
      </c>
      <c r="H18" s="4" t="s">
        <v>99</v>
      </c>
      <c r="I18" s="4"/>
    </row>
  </sheetData>
  <autoFilter ref="A1:I18"/>
  <conditionalFormatting sqref="A2:I58">
    <cfRule type="expression" priority="2" aboveAverage="0" equalAverage="0" bottom="0" percent="0" rank="0" text="" dxfId="5">
      <formula>$F2="Done"</formula>
    </cfRule>
    <cfRule type="expression" priority="3" aboveAverage="0" equalAverage="0" bottom="0" percent="0" rank="0" text="" dxfId="6">
      <formula>$F2="Blocked"</formula>
    </cfRule>
    <cfRule type="expression" priority="4" aboveAverage="0" equalAverage="0" bottom="0" percent="0" rank="0" text="" dxfId="7">
      <formula>$F2="In progress"</formula>
    </cfRule>
  </conditionalFormatting>
  <conditionalFormatting sqref="D2:D58">
    <cfRule type="expression" priority="5" aboveAverage="0" equalAverage="0" bottom="0" percent="0" rank="0" text="" dxfId="8">
      <formula>$D2="You"</formula>
    </cfRule>
  </conditionalFormatting>
  <dataValidations count="3">
    <dataValidation allowBlank="true" errorStyle="stop" operator="between" showDropDown="false" showErrorMessage="false" showInputMessage="false" sqref="D2:D58" type="list">
      <formula1>"Claude,You,Both"</formula1>
      <formula2>0</formula2>
    </dataValidation>
    <dataValidation allowBlank="true" errorStyle="stop" operator="between" showDropDown="false" showErrorMessage="false" showInputMessage="false" sqref="E2:E58" type="list">
      <formula1>"P0 – now,P1 – next,P2 – later"</formula1>
      <formula2>0</formula2>
    </dataValidation>
    <dataValidation allowBlank="true" errorStyle="stop" operator="between" showDropDown="false" showErrorMessage="false" showInputMessage="false" sqref="F2:F58" type="list">
      <formula1>"To do,In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9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6" t="s">
        <v>100</v>
      </c>
      <c r="B1" s="6" t="s">
        <v>101</v>
      </c>
      <c r="C1" s="6" t="s">
        <v>102</v>
      </c>
      <c r="D1" s="6" t="s">
        <v>103</v>
      </c>
      <c r="E1" s="6" t="s">
        <v>104</v>
      </c>
    </row>
    <row r="2" customFormat="false" ht="15" hidden="false" customHeight="false" outlineLevel="0" collapsed="false">
      <c r="A2" s="4" t="s">
        <v>105</v>
      </c>
      <c r="B2" s="4" t="s">
        <v>106</v>
      </c>
      <c r="C2" s="4" t="s">
        <v>107</v>
      </c>
      <c r="D2" s="4" t="s">
        <v>108</v>
      </c>
      <c r="E2" s="4" t="s">
        <v>109</v>
      </c>
    </row>
    <row r="3" customFormat="false" ht="15" hidden="false" customHeight="false" outlineLevel="0" collapsed="false">
      <c r="A3" s="4" t="s">
        <v>105</v>
      </c>
      <c r="B3" s="4" t="s">
        <v>106</v>
      </c>
      <c r="C3" s="4" t="s">
        <v>110</v>
      </c>
      <c r="D3" s="4" t="s">
        <v>111</v>
      </c>
      <c r="E3" s="4" t="s">
        <v>112</v>
      </c>
    </row>
    <row r="4" customFormat="false" ht="23.85" hidden="false" customHeight="false" outlineLevel="0" collapsed="false">
      <c r="A4" s="4" t="s">
        <v>105</v>
      </c>
      <c r="B4" s="4" t="s">
        <v>106</v>
      </c>
      <c r="C4" s="4" t="s">
        <v>113</v>
      </c>
      <c r="D4" s="4" t="s">
        <v>114</v>
      </c>
      <c r="E4" s="4" t="s">
        <v>112</v>
      </c>
    </row>
    <row r="5" customFormat="false" ht="15" hidden="false" customHeight="false" outlineLevel="0" collapsed="false">
      <c r="A5" s="4" t="s">
        <v>105</v>
      </c>
      <c r="B5" s="4" t="s">
        <v>106</v>
      </c>
      <c r="C5" s="4" t="s">
        <v>115</v>
      </c>
      <c r="D5" s="4" t="s">
        <v>116</v>
      </c>
      <c r="E5" s="4" t="s">
        <v>112</v>
      </c>
    </row>
    <row r="6" customFormat="false" ht="15" hidden="false" customHeight="false" outlineLevel="0" collapsed="false">
      <c r="A6" s="4" t="s">
        <v>117</v>
      </c>
      <c r="B6" s="4" t="s">
        <v>118</v>
      </c>
      <c r="C6" s="4" t="s">
        <v>119</v>
      </c>
      <c r="D6" s="4" t="s">
        <v>120</v>
      </c>
      <c r="E6" s="4" t="s">
        <v>121</v>
      </c>
    </row>
    <row r="7" customFormat="false" ht="15" hidden="false" customHeight="false" outlineLevel="0" collapsed="false">
      <c r="A7" s="4" t="s">
        <v>117</v>
      </c>
      <c r="B7" s="4" t="s">
        <v>122</v>
      </c>
      <c r="C7" s="4" t="s">
        <v>123</v>
      </c>
      <c r="D7" s="4" t="s">
        <v>124</v>
      </c>
      <c r="E7" s="4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6"/>
  </cols>
  <sheetData>
    <row r="1" customFormat="false" ht="26.85" hidden="false" customHeight="false" outlineLevel="0" collapsed="false">
      <c r="A1" s="6" t="s">
        <v>126</v>
      </c>
      <c r="B1" s="6" t="s">
        <v>127</v>
      </c>
      <c r="C1" s="6" t="s">
        <v>128</v>
      </c>
      <c r="D1" s="6" t="s">
        <v>129</v>
      </c>
      <c r="E1" s="6" t="s">
        <v>130</v>
      </c>
      <c r="F1" s="6" t="s">
        <v>131</v>
      </c>
      <c r="G1" s="6" t="s">
        <v>132</v>
      </c>
      <c r="H1" s="6" t="s">
        <v>133</v>
      </c>
    </row>
    <row r="2" customFormat="false" ht="15" hidden="false" customHeight="false" outlineLevel="0" collapsed="false">
      <c r="A2" s="4" t="n">
        <v>1</v>
      </c>
      <c r="B2" s="4" t="s">
        <v>134</v>
      </c>
      <c r="C2" s="4" t="s">
        <v>135</v>
      </c>
      <c r="D2" s="4" t="s">
        <v>136</v>
      </c>
      <c r="E2" s="7" t="n">
        <v>5</v>
      </c>
      <c r="F2" s="7" t="n">
        <v>2</v>
      </c>
      <c r="G2" s="4" t="n">
        <f aca="false">E2*2-F2</f>
        <v>8</v>
      </c>
      <c r="H2" s="4"/>
    </row>
    <row r="3" customFormat="false" ht="15" hidden="false" customHeight="false" outlineLevel="0" collapsed="false">
      <c r="A3" s="4" t="n">
        <v>2</v>
      </c>
      <c r="B3" s="4" t="s">
        <v>137</v>
      </c>
      <c r="C3" s="4" t="s">
        <v>138</v>
      </c>
      <c r="D3" s="4" t="s">
        <v>139</v>
      </c>
      <c r="E3" s="7" t="n">
        <v>5</v>
      </c>
      <c r="F3" s="7" t="n">
        <v>2</v>
      </c>
      <c r="G3" s="4" t="n">
        <f aca="false">E3*2-F3</f>
        <v>8</v>
      </c>
      <c r="H3" s="4"/>
    </row>
    <row r="4" customFormat="false" ht="15" hidden="false" customHeight="false" outlineLevel="0" collapsed="false">
      <c r="A4" s="4" t="n">
        <v>3</v>
      </c>
      <c r="B4" s="4" t="s">
        <v>140</v>
      </c>
      <c r="C4" s="4" t="s">
        <v>141</v>
      </c>
      <c r="D4" s="4" t="s">
        <v>142</v>
      </c>
      <c r="E4" s="7" t="n">
        <v>4</v>
      </c>
      <c r="F4" s="7" t="n">
        <v>1</v>
      </c>
      <c r="G4" s="4" t="n">
        <f aca="false">E4*2-F4</f>
        <v>7</v>
      </c>
      <c r="H4" s="4"/>
    </row>
    <row r="5" customFormat="false" ht="23.85" hidden="false" customHeight="false" outlineLevel="0" collapsed="false">
      <c r="A5" s="4" t="n">
        <v>4</v>
      </c>
      <c r="B5" s="4" t="s">
        <v>143</v>
      </c>
      <c r="C5" s="4" t="s">
        <v>144</v>
      </c>
      <c r="D5" s="4" t="s">
        <v>145</v>
      </c>
      <c r="E5" s="7" t="n">
        <v>5</v>
      </c>
      <c r="F5" s="7" t="n">
        <v>2</v>
      </c>
      <c r="G5" s="4" t="n">
        <f aca="false">E5*2-F5</f>
        <v>8</v>
      </c>
      <c r="H5" s="4"/>
    </row>
    <row r="6" customFormat="false" ht="15" hidden="false" customHeight="false" outlineLevel="0" collapsed="false">
      <c r="A6" s="4" t="n">
        <v>5</v>
      </c>
      <c r="B6" s="4" t="s">
        <v>146</v>
      </c>
      <c r="C6" s="4" t="s">
        <v>147</v>
      </c>
      <c r="D6" s="4" t="s">
        <v>148</v>
      </c>
      <c r="E6" s="7" t="n">
        <v>4</v>
      </c>
      <c r="F6" s="7" t="n">
        <v>2</v>
      </c>
      <c r="G6" s="4" t="n">
        <f aca="false">E6*2-F6</f>
        <v>6</v>
      </c>
      <c r="H6" s="4"/>
    </row>
    <row r="7" customFormat="false" ht="15" hidden="false" customHeight="false" outlineLevel="0" collapsed="false">
      <c r="A7" s="4" t="n">
        <v>6</v>
      </c>
      <c r="B7" s="4" t="s">
        <v>149</v>
      </c>
      <c r="C7" s="4" t="s">
        <v>150</v>
      </c>
      <c r="D7" s="4" t="s">
        <v>151</v>
      </c>
      <c r="E7" s="7" t="n">
        <v>4</v>
      </c>
      <c r="F7" s="7" t="n">
        <v>3</v>
      </c>
      <c r="G7" s="4" t="n">
        <f aca="false">E7*2-F7</f>
        <v>5</v>
      </c>
      <c r="H7" s="4"/>
    </row>
    <row r="8" customFormat="false" ht="15" hidden="false" customHeight="false" outlineLevel="0" collapsed="false">
      <c r="A8" s="4" t="n">
        <v>7</v>
      </c>
      <c r="B8" s="4" t="s">
        <v>152</v>
      </c>
      <c r="C8" s="4" t="s">
        <v>153</v>
      </c>
      <c r="D8" s="4" t="s">
        <v>154</v>
      </c>
      <c r="E8" s="7" t="n">
        <v>4</v>
      </c>
      <c r="F8" s="7" t="n">
        <v>3</v>
      </c>
      <c r="G8" s="4" t="n">
        <f aca="false">E8*2-F8</f>
        <v>5</v>
      </c>
      <c r="H8" s="4"/>
    </row>
    <row r="9" customFormat="false" ht="15" hidden="false" customHeight="false" outlineLevel="0" collapsed="false">
      <c r="A9" s="4" t="n">
        <v>8</v>
      </c>
      <c r="B9" s="4" t="s">
        <v>155</v>
      </c>
      <c r="C9" s="4" t="s">
        <v>156</v>
      </c>
      <c r="D9" s="4" t="s">
        <v>157</v>
      </c>
      <c r="E9" s="7" t="n">
        <v>4</v>
      </c>
      <c r="F9" s="7" t="n">
        <v>2</v>
      </c>
      <c r="G9" s="4" t="n">
        <f aca="false">E9*2-F9</f>
        <v>6</v>
      </c>
      <c r="H9" s="4"/>
    </row>
    <row r="10" customFormat="false" ht="15" hidden="false" customHeight="false" outlineLevel="0" collapsed="false">
      <c r="A10" s="4" t="n">
        <v>9</v>
      </c>
      <c r="B10" s="4" t="s">
        <v>158</v>
      </c>
      <c r="C10" s="4" t="s">
        <v>159</v>
      </c>
      <c r="D10" s="4" t="s">
        <v>160</v>
      </c>
      <c r="E10" s="7" t="n">
        <v>3</v>
      </c>
      <c r="F10" s="7" t="n">
        <v>2</v>
      </c>
      <c r="G10" s="4" t="n">
        <f aca="false">E10*2-F10</f>
        <v>4</v>
      </c>
      <c r="H10" s="4"/>
    </row>
    <row r="11" customFormat="false" ht="15" hidden="false" customHeight="false" outlineLevel="0" collapsed="false">
      <c r="A11" s="4" t="n">
        <v>10</v>
      </c>
      <c r="B11" s="4" t="s">
        <v>161</v>
      </c>
      <c r="C11" s="4" t="s">
        <v>162</v>
      </c>
      <c r="D11" s="4" t="s">
        <v>163</v>
      </c>
      <c r="E11" s="7" t="n">
        <v>3</v>
      </c>
      <c r="F11" s="7" t="n">
        <v>4</v>
      </c>
      <c r="G11" s="4" t="n">
        <f aca="false">E11*2-F11</f>
        <v>2</v>
      </c>
      <c r="H11" s="4"/>
    </row>
    <row r="12" customFormat="false" ht="15" hidden="false" customHeight="false" outlineLevel="0" collapsed="false">
      <c r="A12" s="4" t="n">
        <v>11</v>
      </c>
      <c r="B12" s="4" t="s">
        <v>164</v>
      </c>
      <c r="C12" s="4" t="s">
        <v>165</v>
      </c>
      <c r="D12" s="4" t="s">
        <v>166</v>
      </c>
      <c r="E12" s="7" t="n">
        <v>4</v>
      </c>
      <c r="F12" s="7" t="n">
        <v>2</v>
      </c>
      <c r="G12" s="4" t="n">
        <f aca="false">E12*2-F12</f>
        <v>6</v>
      </c>
      <c r="H12" s="4"/>
    </row>
    <row r="13" customFormat="false" ht="15" hidden="false" customHeight="false" outlineLevel="0" collapsed="false">
      <c r="A13" s="4" t="n">
        <v>12</v>
      </c>
      <c r="B13" s="4" t="s">
        <v>167</v>
      </c>
      <c r="C13" s="4" t="s">
        <v>168</v>
      </c>
      <c r="D13" s="4" t="s">
        <v>169</v>
      </c>
      <c r="E13" s="7" t="n">
        <v>3</v>
      </c>
      <c r="F13" s="7" t="n">
        <v>2</v>
      </c>
      <c r="G13" s="4" t="n">
        <f aca="false">E13*2-F13</f>
        <v>4</v>
      </c>
      <c r="H13" s="4"/>
    </row>
    <row r="14" customFormat="false" ht="15" hidden="false" customHeight="false" outlineLevel="0" collapsed="false">
      <c r="A14" s="4" t="n">
        <v>13</v>
      </c>
      <c r="B14" s="4" t="s">
        <v>170</v>
      </c>
      <c r="C14" s="4" t="s">
        <v>171</v>
      </c>
      <c r="D14" s="4" t="s">
        <v>145</v>
      </c>
      <c r="E14" s="7" t="n">
        <v>3</v>
      </c>
      <c r="F14" s="7" t="n">
        <v>3</v>
      </c>
      <c r="G14" s="4" t="n">
        <f aca="false">E14*2-F14</f>
        <v>3</v>
      </c>
      <c r="H14" s="4"/>
    </row>
    <row r="15" customFormat="false" ht="15" hidden="false" customHeight="false" outlineLevel="0" collapsed="false">
      <c r="A15" s="4" t="n">
        <v>14</v>
      </c>
      <c r="B15" s="4" t="s">
        <v>172</v>
      </c>
      <c r="C15" s="4" t="s">
        <v>173</v>
      </c>
      <c r="D15" s="4" t="s">
        <v>174</v>
      </c>
      <c r="E15" s="7" t="n">
        <v>2</v>
      </c>
      <c r="F15" s="7" t="n">
        <v>4</v>
      </c>
      <c r="G15" s="4" t="n">
        <f aca="false">E15*2-F15</f>
        <v>0</v>
      </c>
      <c r="H15" s="4"/>
    </row>
    <row r="16" customFormat="false" ht="15" hidden="false" customHeight="false" outlineLevel="0" collapsed="false">
      <c r="A16" s="4" t="n">
        <v>15</v>
      </c>
      <c r="B16" s="4" t="s">
        <v>175</v>
      </c>
      <c r="C16" s="4" t="s">
        <v>176</v>
      </c>
      <c r="D16" s="4" t="s">
        <v>177</v>
      </c>
      <c r="E16" s="7" t="n">
        <v>3</v>
      </c>
      <c r="F16" s="7" t="n">
        <v>2</v>
      </c>
      <c r="G16" s="4" t="n">
        <f aca="false">E16*2-F16</f>
        <v>4</v>
      </c>
      <c r="H16" s="4"/>
    </row>
    <row r="18" customFormat="false" ht="15" hidden="false" customHeight="false" outlineLevel="0" collapsed="false">
      <c r="B18" s="8" t="s">
        <v>178</v>
      </c>
    </row>
  </sheetData>
  <autoFilter ref="A1:H16"/>
  <conditionalFormatting sqref="G2:G16">
    <cfRule type="expression" priority="2" aboveAverage="0" equalAverage="0" bottom="0" percent="0" rank="0" text="" dxfId="11">
      <formula>G2&gt;=8</formula>
    </cfRule>
  </conditionalFormatting>
  <dataValidations count="2">
    <dataValidation allowBlank="true" errorStyle="stop" operator="between" showDropDown="false" showErrorMessage="false" showInputMessage="false" sqref="H2:H46" type="list">
      <formula1>"Yes – do it,Later,No"</formula1>
      <formula2>0</formula2>
    </dataValidation>
    <dataValidation allowBlank="false" errorStyle="stop" operator="between" showDropDown="false" showErrorMessage="false" showInputMessage="false" sqref="E2:F4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6" t="s">
        <v>126</v>
      </c>
      <c r="B1" s="6" t="s">
        <v>179</v>
      </c>
      <c r="C1" s="6" t="s">
        <v>180</v>
      </c>
    </row>
    <row r="2" customFormat="false" ht="15" hidden="false" customHeight="false" outlineLevel="0" collapsed="false">
      <c r="A2" s="4" t="n">
        <v>1</v>
      </c>
      <c r="B2" s="4" t="s">
        <v>181</v>
      </c>
      <c r="C2" s="9"/>
    </row>
    <row r="3" customFormat="false" ht="15" hidden="false" customHeight="false" outlineLevel="0" collapsed="false">
      <c r="A3" s="4" t="n">
        <v>2</v>
      </c>
      <c r="B3" s="4" t="s">
        <v>182</v>
      </c>
      <c r="C3" s="9"/>
    </row>
    <row r="4" customFormat="false" ht="15" hidden="false" customHeight="false" outlineLevel="0" collapsed="false">
      <c r="A4" s="4" t="n">
        <v>3</v>
      </c>
      <c r="B4" s="4" t="s">
        <v>183</v>
      </c>
      <c r="C4" s="9"/>
    </row>
    <row r="5" customFormat="false" ht="15" hidden="false" customHeight="false" outlineLevel="0" collapsed="false">
      <c r="A5" s="4" t="n">
        <v>4</v>
      </c>
      <c r="B5" s="4" t="s">
        <v>184</v>
      </c>
      <c r="C5" s="9"/>
    </row>
    <row r="6" customFormat="false" ht="15" hidden="false" customHeight="false" outlineLevel="0" collapsed="false">
      <c r="A6" s="4" t="n">
        <v>5</v>
      </c>
      <c r="B6" s="4" t="s">
        <v>185</v>
      </c>
      <c r="C6" s="9"/>
    </row>
    <row r="7" customFormat="false" ht="15" hidden="false" customHeight="false" outlineLevel="0" collapsed="false">
      <c r="A7" s="4" t="n">
        <v>6</v>
      </c>
      <c r="B7" s="4" t="s">
        <v>186</v>
      </c>
      <c r="C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2026-10-23T03:41:06Z</dcterms:created>
  <dc:creator>openpyxl</dc:creator>
  <dc:description/>
  <dc:language>en-US</dc:language>
  <cp:lastModifiedBy/>
  <dcterms:modified xsi:type="dcterms:W3CDTF">2026-10-23T03:41:06Z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